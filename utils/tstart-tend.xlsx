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roquan\Documents\python\preprocessing-mitgcm\utils\"/>
    </mc:Choice>
  </mc:AlternateContent>
  <xr:revisionPtr revIDLastSave="0" documentId="13_ncr:1_{9814A565-A81D-491D-803B-89859F21A4B4}" xr6:coauthVersionLast="47" xr6:coauthVersionMax="47" xr10:uidLastSave="{00000000-0000-0000-0000-000000000000}"/>
  <bookViews>
    <workbookView xWindow="-110" yWindow="-110" windowWidth="19420" windowHeight="11500" firstSheet="2" activeTab="7" xr2:uid="{1C1AAA8F-B7A7-4F2E-9366-9D04187454FC}"/>
  </bookViews>
  <sheets>
    <sheet name="13.08.2023" sheetId="1" r:id="rId1"/>
    <sheet name="13.10.2023" sheetId="5" r:id="rId2"/>
    <sheet name="01.05.2024" sheetId="6" r:id="rId3"/>
    <sheet name="01.03.2024" sheetId="3" r:id="rId4"/>
    <sheet name="01.03.2025" sheetId="7" r:id="rId5"/>
    <sheet name="01.12.2023" sheetId="2" r:id="rId6"/>
    <sheet name="01.01.2026" sheetId="8" r:id="rId7"/>
    <sheet name="01.01.2025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9" l="1"/>
  <c r="C12" i="9"/>
  <c r="H14" i="9"/>
  <c r="C12" i="2"/>
  <c r="G9" i="9"/>
  <c r="G11" i="9"/>
  <c r="C3" i="9"/>
  <c r="C2" i="9"/>
  <c r="G8" i="8"/>
  <c r="G11" i="8" s="1"/>
  <c r="G9" i="8"/>
  <c r="C3" i="8"/>
  <c r="C2" i="8"/>
  <c r="C9" i="8" s="1"/>
  <c r="G11" i="7"/>
  <c r="C3" i="7"/>
  <c r="C2" i="7"/>
  <c r="C9" i="7" s="1"/>
  <c r="G9" i="7"/>
  <c r="G8" i="7"/>
  <c r="C12" i="6"/>
  <c r="C10" i="6"/>
  <c r="C9" i="6"/>
  <c r="G3" i="6"/>
  <c r="G2" i="6"/>
  <c r="G3" i="5"/>
  <c r="G2" i="5"/>
  <c r="G9" i="5" s="1"/>
  <c r="C12" i="5"/>
  <c r="C10" i="5"/>
  <c r="C9" i="5"/>
  <c r="G11" i="1"/>
  <c r="G3" i="1"/>
  <c r="C3" i="3"/>
  <c r="C12" i="3" s="1"/>
  <c r="C2" i="3"/>
  <c r="G9" i="3"/>
  <c r="G8" i="3"/>
  <c r="G11" i="3" s="1"/>
  <c r="C12" i="1"/>
  <c r="J5" i="1"/>
  <c r="I5" i="1" s="1"/>
  <c r="C10" i="2"/>
  <c r="G9" i="2"/>
  <c r="C9" i="2"/>
  <c r="G8" i="2"/>
  <c r="G11" i="2" s="1"/>
  <c r="C10" i="1"/>
  <c r="C9" i="1"/>
  <c r="G9" i="1"/>
  <c r="G8" i="1"/>
  <c r="C9" i="9" l="1"/>
  <c r="C10" i="9"/>
  <c r="C12" i="8"/>
  <c r="C10" i="8"/>
  <c r="C10" i="7"/>
  <c r="C12" i="7"/>
  <c r="G8" i="6"/>
  <c r="G11" i="6" s="1"/>
  <c r="G9" i="6"/>
  <c r="J5" i="6"/>
  <c r="I5" i="6" s="1"/>
  <c r="G8" i="5"/>
  <c r="G11" i="5" s="1"/>
  <c r="J5" i="5"/>
  <c r="I5" i="5" s="1"/>
  <c r="C9" i="3"/>
  <c r="C10" i="3"/>
</calcChain>
</file>

<file path=xl/sharedStrings.xml><?xml version="1.0" encoding="utf-8"?>
<sst xmlns="http://schemas.openxmlformats.org/spreadsheetml/2006/main" count="120" uniqueCount="9">
  <si>
    <t xml:space="preserve">Tstart = </t>
  </si>
  <si>
    <t xml:space="preserve">Tstop  = </t>
  </si>
  <si>
    <t xml:space="preserve">t_ref = </t>
  </si>
  <si>
    <t>dt_mitgcm =</t>
  </si>
  <si>
    <t>ID_restart_file =</t>
  </si>
  <si>
    <t xml:space="preserve">Tstop = </t>
  </si>
  <si>
    <t>date_restart =</t>
  </si>
  <si>
    <t>date_start =</t>
  </si>
  <si>
    <t>date_end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</si>
</sst>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42A8B-1D53-421F-BF8A-37CC7483A765}">
  <dimension ref="B2:J13"/>
  <sheetViews>
    <sheetView workbookViewId="0">
      <selection activeCell="C15" sqref="C15"/>
    </sheetView>
  </sheetViews>
  <sheetFormatPr defaultRowHeight="14.5" x14ac:dyDescent="0.35"/>
  <cols>
    <col min="1" max="1" width="8.7265625" customWidth="1"/>
    <col min="2" max="2" width="14.26953125" bestFit="1" customWidth="1"/>
    <col min="3" max="3" width="15.54296875" bestFit="1" customWidth="1"/>
    <col min="6" max="6" width="16.54296875" customWidth="1"/>
    <col min="7" max="7" width="15.54296875" bestFit="1" customWidth="1"/>
    <col min="9" max="9" width="15.54296875" bestFit="1" customWidth="1"/>
  </cols>
  <sheetData>
    <row r="2" spans="2:10" x14ac:dyDescent="0.35">
      <c r="B2" t="s">
        <v>2</v>
      </c>
      <c r="C2" s="2">
        <v>45151</v>
      </c>
      <c r="F2" t="s">
        <v>2</v>
      </c>
      <c r="G2" s="2">
        <v>45151</v>
      </c>
    </row>
    <row r="3" spans="2:10" x14ac:dyDescent="0.35">
      <c r="B3" t="s">
        <v>3</v>
      </c>
      <c r="C3">
        <v>4</v>
      </c>
      <c r="F3" t="s">
        <v>3</v>
      </c>
      <c r="G3">
        <f>C3</f>
        <v>4</v>
      </c>
    </row>
    <row r="4" spans="2:10" x14ac:dyDescent="0.35">
      <c r="B4" t="s">
        <v>0</v>
      </c>
      <c r="C4">
        <v>668250</v>
      </c>
      <c r="F4" t="s">
        <v>7</v>
      </c>
      <c r="G4" s="2">
        <v>45170</v>
      </c>
    </row>
    <row r="5" spans="2:10" x14ac:dyDescent="0.35">
      <c r="B5" t="s">
        <v>1</v>
      </c>
      <c r="C5">
        <v>7430400</v>
      </c>
      <c r="F5" t="s">
        <v>8</v>
      </c>
      <c r="G5" s="2">
        <v>45182</v>
      </c>
      <c r="I5" s="2">
        <f>G5-J5</f>
        <v>45163</v>
      </c>
      <c r="J5">
        <f>G4-G2</f>
        <v>19</v>
      </c>
    </row>
    <row r="6" spans="2:10" x14ac:dyDescent="0.35">
      <c r="B6" t="s">
        <v>4</v>
      </c>
      <c r="C6">
        <v>668250</v>
      </c>
    </row>
    <row r="8" spans="2:10" x14ac:dyDescent="0.35">
      <c r="F8" t="s">
        <v>0</v>
      </c>
      <c r="G8">
        <f>(G4-$G$2)*24*60*60</f>
        <v>1641600</v>
      </c>
    </row>
    <row r="9" spans="2:10" x14ac:dyDescent="0.35">
      <c r="B9" t="s">
        <v>7</v>
      </c>
      <c r="C9" s="1">
        <f>$C$2+C4/(24*60*60)</f>
        <v>45158.734375</v>
      </c>
      <c r="F9" t="s">
        <v>5</v>
      </c>
      <c r="G9">
        <f>(G5-$G$2)*24*60*60</f>
        <v>2678400</v>
      </c>
    </row>
    <row r="10" spans="2:10" x14ac:dyDescent="0.35">
      <c r="B10" t="s">
        <v>8</v>
      </c>
      <c r="C10" s="1">
        <f>$C$2+C5/(24*60*60)</f>
        <v>45237</v>
      </c>
    </row>
    <row r="11" spans="2:10" x14ac:dyDescent="0.35">
      <c r="F11" t="s">
        <v>4</v>
      </c>
      <c r="G11">
        <f>G8/$G$3</f>
        <v>410400</v>
      </c>
    </row>
    <row r="12" spans="2:10" x14ac:dyDescent="0.35">
      <c r="B12" t="s">
        <v>6</v>
      </c>
      <c r="C12" s="2">
        <f>$C$2+C6/(24*60*60)*C3</f>
        <v>45181.9375</v>
      </c>
    </row>
    <row r="13" spans="2:10" x14ac:dyDescent="0.35">
      <c r="C13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39D2E-4F1E-4A61-856A-06D0CDD80A2A}">
  <dimension ref="B2:J12"/>
  <sheetViews>
    <sheetView workbookViewId="0">
      <selection sqref="A1:XFD1048576"/>
    </sheetView>
  </sheetViews>
  <sheetFormatPr defaultRowHeight="14.5" x14ac:dyDescent="0.35"/>
  <cols>
    <col min="3" max="3" width="15.54296875" bestFit="1" customWidth="1"/>
    <col min="7" max="7" width="15.54296875" bestFit="1" customWidth="1"/>
  </cols>
  <sheetData>
    <row r="2" spans="2:10" x14ac:dyDescent="0.35">
      <c r="B2" t="s">
        <v>2</v>
      </c>
      <c r="C2" s="2">
        <v>45212</v>
      </c>
      <c r="F2" t="s">
        <v>2</v>
      </c>
      <c r="G2" s="2">
        <f>C2</f>
        <v>45212</v>
      </c>
    </row>
    <row r="3" spans="2:10" x14ac:dyDescent="0.35">
      <c r="B3" t="s">
        <v>3</v>
      </c>
      <c r="C3">
        <v>4</v>
      </c>
      <c r="F3" t="s">
        <v>3</v>
      </c>
      <c r="G3">
        <f>C3</f>
        <v>4</v>
      </c>
    </row>
    <row r="4" spans="2:10" x14ac:dyDescent="0.35">
      <c r="B4" t="s">
        <v>0</v>
      </c>
      <c r="C4">
        <v>668250</v>
      </c>
      <c r="F4" t="s">
        <v>7</v>
      </c>
      <c r="G4" s="2">
        <v>45227</v>
      </c>
    </row>
    <row r="5" spans="2:10" x14ac:dyDescent="0.35">
      <c r="B5" t="s">
        <v>1</v>
      </c>
      <c r="C5">
        <v>7430400</v>
      </c>
      <c r="F5" t="s">
        <v>8</v>
      </c>
      <c r="G5" s="2">
        <v>45238</v>
      </c>
      <c r="I5" s="2">
        <f>G5-J5</f>
        <v>45223</v>
      </c>
      <c r="J5">
        <f>G4-G2</f>
        <v>15</v>
      </c>
    </row>
    <row r="6" spans="2:10" x14ac:dyDescent="0.35">
      <c r="B6" t="s">
        <v>4</v>
      </c>
      <c r="C6">
        <v>581850</v>
      </c>
    </row>
    <row r="8" spans="2:10" x14ac:dyDescent="0.35">
      <c r="F8" t="s">
        <v>0</v>
      </c>
      <c r="G8">
        <f>(G4-$G$2)*24*60*60</f>
        <v>1296000</v>
      </c>
    </row>
    <row r="9" spans="2:10" x14ac:dyDescent="0.35">
      <c r="B9" t="s">
        <v>7</v>
      </c>
      <c r="C9" s="1">
        <f>$C$2+C4/(24*60*60)</f>
        <v>45219.734375</v>
      </c>
      <c r="F9" t="s">
        <v>5</v>
      </c>
      <c r="G9">
        <f>(G5-$G$2)*24*60*60</f>
        <v>2246400</v>
      </c>
    </row>
    <row r="10" spans="2:10" x14ac:dyDescent="0.35">
      <c r="B10" t="s">
        <v>8</v>
      </c>
      <c r="C10" s="1">
        <f>$C$2+C5/(24*60*60)</f>
        <v>45298</v>
      </c>
    </row>
    <row r="11" spans="2:10" x14ac:dyDescent="0.35">
      <c r="F11" t="s">
        <v>4</v>
      </c>
      <c r="G11">
        <f>G8/$G$3</f>
        <v>324000</v>
      </c>
    </row>
    <row r="12" spans="2:10" x14ac:dyDescent="0.35">
      <c r="B12" t="s">
        <v>6</v>
      </c>
      <c r="C12" s="2">
        <f>$C$2+C6/(24*60*60)*C3</f>
        <v>45238.9375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7997D-9312-494B-BC04-2DEDA6B4CBF2}">
  <dimension ref="B2:J12"/>
  <sheetViews>
    <sheetView workbookViewId="0">
      <selection activeCell="H5" sqref="H5"/>
    </sheetView>
  </sheetViews>
  <sheetFormatPr defaultRowHeight="14.5" x14ac:dyDescent="0.35"/>
  <cols>
    <col min="2" max="2" width="14.26953125" bestFit="1" customWidth="1"/>
    <col min="3" max="3" width="15.54296875" bestFit="1" customWidth="1"/>
    <col min="7" max="7" width="15.54296875" bestFit="1" customWidth="1"/>
  </cols>
  <sheetData>
    <row r="2" spans="2:10" x14ac:dyDescent="0.35">
      <c r="B2" t="s">
        <v>2</v>
      </c>
      <c r="C2" s="2">
        <v>45389</v>
      </c>
      <c r="F2" t="s">
        <v>2</v>
      </c>
      <c r="G2" s="2">
        <f>C2</f>
        <v>45389</v>
      </c>
    </row>
    <row r="3" spans="2:10" x14ac:dyDescent="0.35">
      <c r="B3" t="s">
        <v>3</v>
      </c>
      <c r="C3">
        <v>4</v>
      </c>
      <c r="F3" t="s">
        <v>3</v>
      </c>
      <c r="G3">
        <f>C3</f>
        <v>4</v>
      </c>
    </row>
    <row r="4" spans="2:10" x14ac:dyDescent="0.35">
      <c r="B4" t="s">
        <v>0</v>
      </c>
      <c r="C4">
        <v>668250</v>
      </c>
      <c r="F4" t="s">
        <v>7</v>
      </c>
      <c r="G4" s="2">
        <v>45402</v>
      </c>
    </row>
    <row r="5" spans="2:10" x14ac:dyDescent="0.35">
      <c r="B5" t="s">
        <v>1</v>
      </c>
      <c r="C5">
        <v>7430400</v>
      </c>
      <c r="F5" t="s">
        <v>8</v>
      </c>
      <c r="G5" s="2">
        <v>45414</v>
      </c>
      <c r="I5" s="2">
        <f>G5-J5</f>
        <v>45401</v>
      </c>
      <c r="J5">
        <f>G4-G2</f>
        <v>13</v>
      </c>
    </row>
    <row r="6" spans="2:10" x14ac:dyDescent="0.35">
      <c r="B6" t="s">
        <v>4</v>
      </c>
      <c r="C6">
        <v>280800</v>
      </c>
    </row>
    <row r="8" spans="2:10" x14ac:dyDescent="0.35">
      <c r="F8" t="s">
        <v>0</v>
      </c>
      <c r="G8">
        <f>(G4-$G$2)*24*60*60</f>
        <v>1123200</v>
      </c>
    </row>
    <row r="9" spans="2:10" x14ac:dyDescent="0.35">
      <c r="B9" t="s">
        <v>7</v>
      </c>
      <c r="C9" s="1">
        <f>$C$2+C4/(24*60*60)</f>
        <v>45396.734375</v>
      </c>
      <c r="F9" t="s">
        <v>5</v>
      </c>
      <c r="G9">
        <f>(G5-$G$2)*24*60*60</f>
        <v>2160000</v>
      </c>
    </row>
    <row r="10" spans="2:10" x14ac:dyDescent="0.35">
      <c r="B10" t="s">
        <v>8</v>
      </c>
      <c r="C10" s="1">
        <f>$C$2+C5/(24*60*60)</f>
        <v>45475</v>
      </c>
    </row>
    <row r="11" spans="2:10" x14ac:dyDescent="0.35">
      <c r="F11" t="s">
        <v>4</v>
      </c>
      <c r="G11">
        <f>G8/$G$3</f>
        <v>280800</v>
      </c>
    </row>
    <row r="12" spans="2:10" x14ac:dyDescent="0.35">
      <c r="B12" t="s">
        <v>6</v>
      </c>
      <c r="C12" s="2">
        <f>$C$2+C6/(24*60*60)*C3</f>
        <v>45402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D50E2-9360-4235-A4E1-0A171357575C}">
  <dimension ref="B2:I12"/>
  <sheetViews>
    <sheetView workbookViewId="0">
      <selection activeCell="C2" sqref="C2:C3"/>
    </sheetView>
  </sheetViews>
  <sheetFormatPr defaultRowHeight="14.5" x14ac:dyDescent="0.35"/>
  <cols>
    <col min="1" max="2" width="14.26953125" bestFit="1" customWidth="1"/>
    <col min="3" max="3" width="15.54296875" bestFit="1" customWidth="1"/>
    <col min="6" max="6" width="16.54296875" customWidth="1"/>
    <col min="7" max="7" width="15.54296875" bestFit="1" customWidth="1"/>
    <col min="9" max="9" width="15.54296875" bestFit="1" customWidth="1"/>
  </cols>
  <sheetData>
    <row r="2" spans="2:9" x14ac:dyDescent="0.35">
      <c r="B2" t="s">
        <v>2</v>
      </c>
      <c r="C2" s="2">
        <f>G2</f>
        <v>45352</v>
      </c>
      <c r="F2" t="s">
        <v>2</v>
      </c>
      <c r="G2" s="2">
        <v>45352</v>
      </c>
    </row>
    <row r="3" spans="2:9" x14ac:dyDescent="0.35">
      <c r="B3" t="s">
        <v>3</v>
      </c>
      <c r="C3">
        <f>G3</f>
        <v>32</v>
      </c>
      <c r="F3" t="s">
        <v>3</v>
      </c>
      <c r="G3">
        <v>32</v>
      </c>
    </row>
    <row r="4" spans="2:9" x14ac:dyDescent="0.35">
      <c r="B4" t="s">
        <v>0</v>
      </c>
      <c r="C4">
        <v>4752000</v>
      </c>
      <c r="F4" t="s">
        <v>7</v>
      </c>
      <c r="G4" s="2">
        <v>45512</v>
      </c>
    </row>
    <row r="5" spans="2:9" x14ac:dyDescent="0.35">
      <c r="B5" t="s">
        <v>1</v>
      </c>
      <c r="C5">
        <v>13996800</v>
      </c>
      <c r="F5" t="s">
        <v>8</v>
      </c>
      <c r="G5" s="2">
        <v>45658</v>
      </c>
      <c r="I5" s="2"/>
    </row>
    <row r="6" spans="2:9" x14ac:dyDescent="0.35">
      <c r="B6" t="s">
        <v>4</v>
      </c>
      <c r="C6">
        <v>432000</v>
      </c>
    </row>
    <row r="8" spans="2:9" x14ac:dyDescent="0.35">
      <c r="F8" t="s">
        <v>0</v>
      </c>
      <c r="G8">
        <f>(G4-$G$2)*24*60*60</f>
        <v>13824000</v>
      </c>
    </row>
    <row r="9" spans="2:9" x14ac:dyDescent="0.35">
      <c r="B9" t="s">
        <v>7</v>
      </c>
      <c r="C9" s="1">
        <f>$C$2+C4/(24*60*60)</f>
        <v>45407</v>
      </c>
      <c r="F9" t="s">
        <v>5</v>
      </c>
      <c r="G9">
        <f>(G5-$G$2)*24*60*60</f>
        <v>26438400</v>
      </c>
    </row>
    <row r="10" spans="2:9" x14ac:dyDescent="0.35">
      <c r="B10" t="s">
        <v>8</v>
      </c>
      <c r="C10" s="1">
        <f>$C$2+C5/(24*60*60)</f>
        <v>45514</v>
      </c>
    </row>
    <row r="11" spans="2:9" x14ac:dyDescent="0.35">
      <c r="F11" t="s">
        <v>4</v>
      </c>
      <c r="G11">
        <f>G8/$G$3</f>
        <v>432000</v>
      </c>
    </row>
    <row r="12" spans="2:9" x14ac:dyDescent="0.35">
      <c r="B12" t="s">
        <v>6</v>
      </c>
      <c r="C12" s="2">
        <f>$C$2+C6/(24*60*60)*$C$3</f>
        <v>45512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1DF43-86EE-492E-A53A-07CA1A9D5DFA}">
  <dimension ref="B2:G12"/>
  <sheetViews>
    <sheetView workbookViewId="0">
      <selection sqref="A1:G13"/>
    </sheetView>
  </sheetViews>
  <sheetFormatPr defaultRowHeight="14.5" x14ac:dyDescent="0.35"/>
  <cols>
    <col min="2" max="2" width="14.26953125" bestFit="1" customWidth="1"/>
    <col min="3" max="3" width="15.54296875" bestFit="1" customWidth="1"/>
    <col min="6" max="6" width="14.26953125" bestFit="1" customWidth="1"/>
    <col min="7" max="7" width="15.54296875" bestFit="1" customWidth="1"/>
  </cols>
  <sheetData>
    <row r="2" spans="2:7" x14ac:dyDescent="0.35">
      <c r="B2" t="s">
        <v>2</v>
      </c>
      <c r="C2" s="2">
        <f>G2</f>
        <v>45778</v>
      </c>
      <c r="F2" t="s">
        <v>2</v>
      </c>
      <c r="G2" s="2">
        <v>45778</v>
      </c>
    </row>
    <row r="3" spans="2:7" x14ac:dyDescent="0.35">
      <c r="B3" t="s">
        <v>3</v>
      </c>
      <c r="C3">
        <f>G3</f>
        <v>32</v>
      </c>
      <c r="F3" t="s">
        <v>3</v>
      </c>
      <c r="G3">
        <v>32</v>
      </c>
    </row>
    <row r="4" spans="2:7" x14ac:dyDescent="0.35">
      <c r="B4" t="s">
        <v>0</v>
      </c>
      <c r="C4">
        <v>4752000</v>
      </c>
      <c r="F4" t="s">
        <v>7</v>
      </c>
      <c r="G4" s="2">
        <v>45172</v>
      </c>
    </row>
    <row r="5" spans="2:7" x14ac:dyDescent="0.35">
      <c r="B5" t="s">
        <v>1</v>
      </c>
      <c r="C5">
        <v>7430400</v>
      </c>
      <c r="F5" t="s">
        <v>8</v>
      </c>
      <c r="G5" s="2">
        <v>45182</v>
      </c>
    </row>
    <row r="6" spans="2:7" x14ac:dyDescent="0.35">
      <c r="B6" t="s">
        <v>4</v>
      </c>
      <c r="C6">
        <v>396900</v>
      </c>
    </row>
    <row r="8" spans="2:7" x14ac:dyDescent="0.35">
      <c r="F8" t="s">
        <v>0</v>
      </c>
      <c r="G8">
        <f>(G4-$G$2)*24*60*60</f>
        <v>-52358400</v>
      </c>
    </row>
    <row r="9" spans="2:7" x14ac:dyDescent="0.35">
      <c r="B9" t="s">
        <v>7</v>
      </c>
      <c r="C9" s="1">
        <f>$C$2+C4/(24*60*60)</f>
        <v>45833</v>
      </c>
      <c r="F9" t="s">
        <v>5</v>
      </c>
      <c r="G9">
        <f>(G5-$G$2)*24*60*60</f>
        <v>-51494400</v>
      </c>
    </row>
    <row r="10" spans="2:7" x14ac:dyDescent="0.35">
      <c r="B10" t="s">
        <v>8</v>
      </c>
      <c r="C10" s="1">
        <f>$C$2+C5/(24*60*60)</f>
        <v>45864</v>
      </c>
    </row>
    <row r="11" spans="2:7" x14ac:dyDescent="0.35">
      <c r="F11" t="s">
        <v>4</v>
      </c>
      <c r="G11">
        <f>G8/$G$3</f>
        <v>-1636200</v>
      </c>
    </row>
    <row r="12" spans="2:7" x14ac:dyDescent="0.35">
      <c r="B12" t="s">
        <v>6</v>
      </c>
      <c r="C12" s="2">
        <f>$C$2+C6/(24*60*60)*4</f>
        <v>45796.375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8CE84-894C-451A-9E03-291ECF5C2511}">
  <dimension ref="B2:I12"/>
  <sheetViews>
    <sheetView workbookViewId="0">
      <selection activeCell="F35" sqref="F35"/>
    </sheetView>
  </sheetViews>
  <sheetFormatPr defaultRowHeight="14.5" x14ac:dyDescent="0.35"/>
  <cols>
    <col min="1" max="2" width="14.26953125" bestFit="1" customWidth="1"/>
    <col min="3" max="3" width="15.54296875" bestFit="1" customWidth="1"/>
    <col min="6" max="6" width="16.54296875" customWidth="1"/>
    <col min="7" max="7" width="15.54296875" bestFit="1" customWidth="1"/>
    <col min="9" max="9" width="15.54296875" bestFit="1" customWidth="1"/>
  </cols>
  <sheetData>
    <row r="2" spans="2:9" x14ac:dyDescent="0.35">
      <c r="B2" t="s">
        <v>2</v>
      </c>
      <c r="C2" s="2">
        <v>45658</v>
      </c>
      <c r="F2" t="s">
        <v>2</v>
      </c>
      <c r="G2" s="2">
        <v>45261</v>
      </c>
    </row>
    <row r="3" spans="2:9" x14ac:dyDescent="0.35">
      <c r="B3" t="s">
        <v>3</v>
      </c>
      <c r="C3">
        <v>10</v>
      </c>
      <c r="F3" t="s">
        <v>3</v>
      </c>
      <c r="G3">
        <v>4</v>
      </c>
    </row>
    <row r="4" spans="2:9" x14ac:dyDescent="0.35">
      <c r="B4" t="s">
        <v>0</v>
      </c>
      <c r="C4">
        <v>4752000</v>
      </c>
      <c r="F4" t="s">
        <v>7</v>
      </c>
      <c r="G4" s="2">
        <v>45172</v>
      </c>
    </row>
    <row r="5" spans="2:9" x14ac:dyDescent="0.35">
      <c r="B5" t="s">
        <v>1</v>
      </c>
      <c r="C5">
        <v>7430400</v>
      </c>
      <c r="F5" t="s">
        <v>8</v>
      </c>
      <c r="G5" s="2">
        <v>45182</v>
      </c>
      <c r="I5" s="2"/>
    </row>
    <row r="6" spans="2:9" x14ac:dyDescent="0.35">
      <c r="B6" t="s">
        <v>4</v>
      </c>
      <c r="C6">
        <v>3144960</v>
      </c>
    </row>
    <row r="8" spans="2:9" x14ac:dyDescent="0.35">
      <c r="F8" t="s">
        <v>0</v>
      </c>
      <c r="G8">
        <f>(G4-$G$2)*24*60*60</f>
        <v>-7689600</v>
      </c>
    </row>
    <row r="9" spans="2:9" x14ac:dyDescent="0.35">
      <c r="B9" t="s">
        <v>7</v>
      </c>
      <c r="C9" s="1">
        <f>$C$2+C4/(24*60*60)</f>
        <v>45713</v>
      </c>
      <c r="F9" t="s">
        <v>5</v>
      </c>
      <c r="G9">
        <f>(G5-$G$2)*24*60*60</f>
        <v>-6825600</v>
      </c>
    </row>
    <row r="10" spans="2:9" x14ac:dyDescent="0.35">
      <c r="B10" t="s">
        <v>8</v>
      </c>
      <c r="C10" s="1">
        <f>$C$2+C5/(24*60*60)</f>
        <v>45744</v>
      </c>
    </row>
    <row r="11" spans="2:9" x14ac:dyDescent="0.35">
      <c r="F11" t="s">
        <v>4</v>
      </c>
      <c r="G11">
        <f>G8/$G$3</f>
        <v>-1922400</v>
      </c>
    </row>
    <row r="12" spans="2:9" x14ac:dyDescent="0.35">
      <c r="B12" t="s">
        <v>6</v>
      </c>
      <c r="C12" s="2">
        <f>$C$2+C6/(24*60*60)*C3</f>
        <v>46022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FCAA9-526B-4BBB-A223-4908A7BA875E}">
  <dimension ref="B2:G12"/>
  <sheetViews>
    <sheetView workbookViewId="0">
      <selection activeCell="H6" sqref="H6"/>
    </sheetView>
  </sheetViews>
  <sheetFormatPr defaultRowHeight="14.5" x14ac:dyDescent="0.35"/>
  <cols>
    <col min="2" max="2" width="14.26953125" bestFit="1" customWidth="1"/>
    <col min="3" max="3" width="15.54296875" bestFit="1" customWidth="1"/>
    <col min="7" max="7" width="15.54296875" bestFit="1" customWidth="1"/>
  </cols>
  <sheetData>
    <row r="2" spans="2:7" x14ac:dyDescent="0.35">
      <c r="B2" t="s">
        <v>2</v>
      </c>
      <c r="C2" s="2">
        <f>G2</f>
        <v>46023</v>
      </c>
      <c r="F2" t="s">
        <v>2</v>
      </c>
      <c r="G2" s="2">
        <v>46023</v>
      </c>
    </row>
    <row r="3" spans="2:7" x14ac:dyDescent="0.35">
      <c r="B3" t="s">
        <v>3</v>
      </c>
      <c r="C3">
        <f>G3</f>
        <v>10</v>
      </c>
      <c r="F3" t="s">
        <v>3</v>
      </c>
      <c r="G3">
        <v>10</v>
      </c>
    </row>
    <row r="4" spans="2:7" x14ac:dyDescent="0.35">
      <c r="B4" t="s">
        <v>0</v>
      </c>
      <c r="C4">
        <v>4752000</v>
      </c>
      <c r="F4" t="s">
        <v>7</v>
      </c>
      <c r="G4" s="2">
        <v>45770</v>
      </c>
    </row>
    <row r="5" spans="2:7" x14ac:dyDescent="0.35">
      <c r="B5" t="s">
        <v>1</v>
      </c>
      <c r="C5">
        <v>23760000</v>
      </c>
      <c r="F5" t="s">
        <v>8</v>
      </c>
      <c r="G5" s="2">
        <v>45962</v>
      </c>
    </row>
    <row r="6" spans="2:7" x14ac:dyDescent="0.35">
      <c r="B6" t="s">
        <v>4</v>
      </c>
      <c r="C6">
        <v>198540</v>
      </c>
    </row>
    <row r="8" spans="2:7" x14ac:dyDescent="0.35">
      <c r="F8" t="s">
        <v>0</v>
      </c>
      <c r="G8">
        <f>(G4-$G$2)*24*60*60</f>
        <v>-21859200</v>
      </c>
    </row>
    <row r="9" spans="2:7" x14ac:dyDescent="0.35">
      <c r="B9" t="s">
        <v>7</v>
      </c>
      <c r="C9" s="1">
        <f>$C$2+C4/(24*60*60)</f>
        <v>46078</v>
      </c>
      <c r="F9" t="s">
        <v>5</v>
      </c>
      <c r="G9">
        <f>(G5-$G$2)*24*60*60</f>
        <v>-5270400</v>
      </c>
    </row>
    <row r="10" spans="2:7" x14ac:dyDescent="0.35">
      <c r="B10" t="s">
        <v>8</v>
      </c>
      <c r="C10" s="1">
        <f>$C$2+C5/(24*60*60)</f>
        <v>46298</v>
      </c>
    </row>
    <row r="11" spans="2:7" x14ac:dyDescent="0.35">
      <c r="F11" t="s">
        <v>4</v>
      </c>
      <c r="G11">
        <f>G8/$G$3</f>
        <v>-2185920</v>
      </c>
    </row>
    <row r="12" spans="2:7" x14ac:dyDescent="0.35">
      <c r="B12" t="s">
        <v>6</v>
      </c>
      <c r="C12" s="2">
        <f>$C$2+C6/(24*60*60)*C3</f>
        <v>46045.979166666664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9AB26-8EB3-493A-9F6D-78FC21FACCDC}">
  <dimension ref="B2:H14"/>
  <sheetViews>
    <sheetView tabSelected="1" workbookViewId="0">
      <selection activeCell="G9" sqref="G9"/>
    </sheetView>
  </sheetViews>
  <sheetFormatPr defaultRowHeight="14.5" x14ac:dyDescent="0.35"/>
  <cols>
    <col min="2" max="2" width="14.26953125" bestFit="1" customWidth="1"/>
    <col min="3" max="3" width="15.54296875" bestFit="1" customWidth="1"/>
    <col min="7" max="7" width="15.54296875" bestFit="1" customWidth="1"/>
  </cols>
  <sheetData>
    <row r="2" spans="2:8" x14ac:dyDescent="0.35">
      <c r="B2" t="s">
        <v>2</v>
      </c>
      <c r="C2" s="2">
        <f>G2</f>
        <v>45658</v>
      </c>
      <c r="F2" t="s">
        <v>2</v>
      </c>
      <c r="G2" s="2">
        <v>45658</v>
      </c>
    </row>
    <row r="3" spans="2:8" x14ac:dyDescent="0.35">
      <c r="B3" t="s">
        <v>3</v>
      </c>
      <c r="C3">
        <f>G3</f>
        <v>10</v>
      </c>
      <c r="F3" t="s">
        <v>3</v>
      </c>
      <c r="G3">
        <v>10</v>
      </c>
    </row>
    <row r="4" spans="2:8" x14ac:dyDescent="0.35">
      <c r="B4" t="s">
        <v>0</v>
      </c>
      <c r="C4">
        <v>4752000</v>
      </c>
      <c r="F4" t="s">
        <v>7</v>
      </c>
      <c r="G4" s="2">
        <v>46023.020833333336</v>
      </c>
    </row>
    <row r="5" spans="2:8" x14ac:dyDescent="0.35">
      <c r="B5" t="s">
        <v>1</v>
      </c>
      <c r="C5">
        <v>23760000</v>
      </c>
      <c r="F5" t="s">
        <v>8</v>
      </c>
      <c r="G5" s="2">
        <v>46025.8125</v>
      </c>
    </row>
    <row r="6" spans="2:8" x14ac:dyDescent="0.35">
      <c r="B6" t="s">
        <v>4</v>
      </c>
      <c r="C6">
        <v>509580</v>
      </c>
    </row>
    <row r="8" spans="2:8" x14ac:dyDescent="0.35">
      <c r="F8" t="s">
        <v>0</v>
      </c>
      <c r="G8">
        <f>(G4-$G$2)*24*60*60</f>
        <v>31537800.000000209</v>
      </c>
    </row>
    <row r="9" spans="2:8" x14ac:dyDescent="0.35">
      <c r="B9" t="s">
        <v>7</v>
      </c>
      <c r="C9" s="1">
        <f>$C$2+C4/(24*60*60)</f>
        <v>45713</v>
      </c>
      <c r="F9" t="s">
        <v>5</v>
      </c>
      <c r="G9">
        <f>(G5-$G$2)*24*60*60</f>
        <v>31779000</v>
      </c>
    </row>
    <row r="10" spans="2:8" x14ac:dyDescent="0.35">
      <c r="B10" t="s">
        <v>8</v>
      </c>
      <c r="C10" s="1">
        <f>$C$2+C5/(24*60*60)</f>
        <v>45933</v>
      </c>
    </row>
    <row r="11" spans="2:8" x14ac:dyDescent="0.35">
      <c r="F11" t="s">
        <v>4</v>
      </c>
      <c r="G11">
        <f>G8/$G$3</f>
        <v>3153780.000000021</v>
      </c>
    </row>
    <row r="12" spans="2:8" x14ac:dyDescent="0.35">
      <c r="B12" t="s">
        <v>6</v>
      </c>
      <c r="C12" s="2">
        <f>$C$2+C6/(24*60*60)*C3</f>
        <v>45716.979166666664</v>
      </c>
    </row>
    <row r="14" spans="2:8" x14ac:dyDescent="0.35">
      <c r="H14">
        <f>30*2*24*2</f>
        <v>2880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13.08.2023</vt:lpstr>
      <vt:lpstr>13.10.2023</vt:lpstr>
      <vt:lpstr>01.05.2024</vt:lpstr>
      <vt:lpstr>01.03.2024</vt:lpstr>
      <vt:lpstr>01.03.2025</vt:lpstr>
      <vt:lpstr>01.12.2023</vt:lpstr>
      <vt:lpstr>01.01.2026</vt:lpstr>
      <vt:lpstr>01.01.2025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Leroquais, Anne</dc:creator>
  <cp:lastModifiedBy>Walch Leroquais, Anne</cp:lastModifiedBy>
  <dcterms:created xsi:type="dcterms:W3CDTF">2025-01-17T09:15:47Z</dcterms:created>
  <dcterms:modified xsi:type="dcterms:W3CDTF">2026-10-16T16:09:48Z</dcterms:modified>
</cp:coreProperties>
</file>